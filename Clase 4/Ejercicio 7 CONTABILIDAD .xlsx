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frbautneduar-my.sharepoint.com/personal/sgarcia_frba_utn_edu_ar/Documents/Documents/Economia Homogenea/Guia de ejercicios/Año 2022/"/>
    </mc:Choice>
  </mc:AlternateContent>
  <xr:revisionPtr revIDLastSave="1" documentId="13_ncr:1_{EB7147AD-C218-4BB9-8ED1-E5E340228276}" xr6:coauthVersionLast="47" xr6:coauthVersionMax="47" xr10:uidLastSave="{C8BD2E8A-3AE6-439E-A24A-4ABB276663F6}"/>
  <bookViews>
    <workbookView xWindow="-110" yWindow="-110" windowWidth="19420" windowHeight="1030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 l="1"/>
  <c r="E44" i="1"/>
  <c r="C44" i="1"/>
  <c r="G44" i="1" s="1"/>
  <c r="E37" i="1"/>
  <c r="E35" i="1"/>
  <c r="D27" i="1"/>
  <c r="I22" i="1"/>
  <c r="F21" i="1"/>
  <c r="H19" i="1"/>
  <c r="D19" i="1"/>
  <c r="M18" i="1"/>
  <c r="E28" i="1" s="1"/>
  <c r="I18" i="1"/>
  <c r="I21" i="1" s="1"/>
  <c r="I23" i="1" s="1"/>
  <c r="E17" i="1"/>
  <c r="E19" i="1" s="1"/>
  <c r="M16" i="1"/>
  <c r="M17" i="1" s="1"/>
  <c r="I15" i="1"/>
  <c r="D42" i="1" s="1"/>
  <c r="E15" i="1"/>
  <c r="M14" i="1"/>
  <c r="M12" i="1" s="1"/>
  <c r="I13" i="1"/>
  <c r="E36" i="1" s="1"/>
  <c r="E29" i="1" l="1"/>
  <c r="E26" i="1"/>
  <c r="E27" i="1"/>
  <c r="E31" i="1"/>
  <c r="F42" i="1"/>
  <c r="G42" i="1" s="1"/>
  <c r="H43" i="1" s="1"/>
  <c r="I19" i="1"/>
  <c r="E30" i="1"/>
  <c r="E38" i="1"/>
  <c r="E39" i="1" s="1"/>
</calcChain>
</file>

<file path=xl/sharedStrings.xml><?xml version="1.0" encoding="utf-8"?>
<sst xmlns="http://schemas.openxmlformats.org/spreadsheetml/2006/main" count="81" uniqueCount="64">
  <si>
    <t xml:space="preserve">BLOQUE N°06 CONTABILIDAD – TABLERO DE COMANDO </t>
  </si>
  <si>
    <r>
      <t>Una empresa que lleva sistema de costeo por absorción al finalizar el período 2019 ha verificado las partidas de las cuentas que se detallan a continuación: Bienes de cambio al final del ejercicio $500.000, Bienes de uso $5.200.000, Capital social $2.200.000, Costo de ventas $1.000.000, Créditos a corto plazo $300.000, Deudas a corto plazo $890.000, Deudas a largo plazo $2.110.000, Caja y bancos $200.000, Gastos generales $611.538.46, Resultado Neto después de Impuesto a las Ganancias $1.000.000, kd = 20,00% del pasivo total, ke =25,00% del patrimonio neto final, tasa de Impuesto a las Ganancias: 35%. En el período 2018 los indicadores mostraban lo siguiente: Margen sobre ventas 28%, Solvencia de corto plazo 1$/$, ROA 15.00%, Liquidez 0.8$/$, ROE 36.40%, Liquidez absoluta 0.20$/$, Rotación del Activo Corriente 3.66 veces/año, Endeudamiento 55%, Rotación de Créditos a clientes 11 veces/año, Rotación de bienes de cambio 7 veces/año.   (Tasa de Impuesto a las ganancias 35%)                                                                                                                                                                                                                                                                                                Haga el Cuadro de resultado del período y el Balance General al finalizar el período. Calcule y organice los indicadores del tablero de comando correspondiente al período 2019 .........................................................………….………………………………………………………………...................................................................................................................………………………………………</t>
    </r>
    <r>
      <rPr>
        <b/>
        <u/>
        <sz val="11"/>
        <color indexed="8"/>
        <rFont val="Calibri"/>
        <family val="2"/>
      </rPr>
      <t>7 puntos</t>
    </r>
    <r>
      <rPr>
        <sz val="11"/>
        <color indexed="8"/>
        <rFont val="Calibri"/>
        <family val="2"/>
      </rPr>
      <t xml:space="preserve"> </t>
    </r>
  </si>
  <si>
    <r>
      <t>Indique cómo evolucionó (mejoró o empeoró) para el año 2019 la situación económica, analice la gestión que administra la empresa</t>
    </r>
    <r>
      <rPr>
        <b/>
        <sz val="11"/>
        <color indexed="8"/>
        <rFont val="Calibri"/>
        <family val="2"/>
      </rPr>
      <t>……………………..……………………………………………………………………..………………………………………………………………………………………………………………………………………………………...……… 6</t>
    </r>
    <r>
      <rPr>
        <b/>
        <u/>
        <sz val="11"/>
        <color indexed="8"/>
        <rFont val="Calibri"/>
        <family val="2"/>
      </rPr>
      <t xml:space="preserve"> puntos</t>
    </r>
  </si>
  <si>
    <r>
      <t>Indique cómo evolucionó (mejoró o empeoró) para el año 2019 la situación financiera.                                                                                                                                                                                                                                                                                                                            …………………………………………………………….........………….......................................................................................................................................................……………………………………………………...</t>
    </r>
    <r>
      <rPr>
        <b/>
        <sz val="11"/>
        <color indexed="8"/>
        <rFont val="Calibri"/>
        <family val="2"/>
      </rPr>
      <t>6</t>
    </r>
    <r>
      <rPr>
        <b/>
        <u/>
        <sz val="11"/>
        <color indexed="8"/>
        <rFont val="Calibri"/>
        <family val="2"/>
      </rPr>
      <t xml:space="preserve"> puntos</t>
    </r>
  </si>
  <si>
    <r>
      <t xml:space="preserve">Calcule la Tasa Promedio Ponderada de Costo de Capital (TPPCC) para cada año e indique si fue correcta la decisión de bajar el endeudamiento </t>
    </r>
    <r>
      <rPr>
        <b/>
        <sz val="11"/>
        <color indexed="8"/>
        <rFont val="Calibri"/>
        <family val="2"/>
      </rPr>
      <t>…………………………………………………………..........………………………………………………………………………...…………………………………….……………………………………………………………………….……………. 6</t>
    </r>
    <r>
      <rPr>
        <b/>
        <u/>
        <sz val="11"/>
        <color indexed="8"/>
        <rFont val="Calibri"/>
        <family val="2"/>
      </rPr>
      <t xml:space="preserve"> puntos</t>
    </r>
  </si>
  <si>
    <t xml:space="preserve">RESPUESTA N°01 </t>
  </si>
  <si>
    <t>BALANCE GENERAL</t>
  </si>
  <si>
    <t>CUADRO DE RESULTADO</t>
  </si>
  <si>
    <t>Caja y Bancos</t>
  </si>
  <si>
    <t>Activo corriente</t>
  </si>
  <si>
    <t>Deudas de corto plazo</t>
  </si>
  <si>
    <t>Pasivo exigible corriente</t>
  </si>
  <si>
    <t>VENTAS</t>
  </si>
  <si>
    <t>Créditos</t>
  </si>
  <si>
    <t xml:space="preserve"> </t>
  </si>
  <si>
    <t>COSTO DE VENTAS</t>
  </si>
  <si>
    <t>Bienes de cambio</t>
  </si>
  <si>
    <t>Deudas de largo plazo</t>
  </si>
  <si>
    <t>Pasivo exigible no corriente</t>
  </si>
  <si>
    <t>UTILIDAD BRUTA</t>
  </si>
  <si>
    <t>GASTOS GENERALES</t>
  </si>
  <si>
    <t>Bienes de uso</t>
  </si>
  <si>
    <t>Activo no corriente</t>
  </si>
  <si>
    <t>Capital Social</t>
  </si>
  <si>
    <t>Patrimonio Neto Final</t>
  </si>
  <si>
    <t>RESULTADO ANTES DE IMPUESTO A LAS GANANCIAS</t>
  </si>
  <si>
    <t>Resultado Neto</t>
  </si>
  <si>
    <t>IMPUESTO A LAS GANANCIAS</t>
  </si>
  <si>
    <t>RESULTADO NETO</t>
  </si>
  <si>
    <t>TOTAL ACTIVO</t>
  </si>
  <si>
    <t>TOTAL PASIVO + PATRIMONIO NETO</t>
  </si>
  <si>
    <t>Patrimonio neto Inicial</t>
  </si>
  <si>
    <t>Patrimonio Neto Promedio</t>
  </si>
  <si>
    <t xml:space="preserve">RESPUESTA N°02 </t>
  </si>
  <si>
    <t>Períodos/Indicadores</t>
  </si>
  <si>
    <t>situación</t>
  </si>
  <si>
    <t>Margen sobre ventas</t>
  </si>
  <si>
    <t>mejoró</t>
  </si>
  <si>
    <t>Rotacion del patrimonio Neto Promedio</t>
  </si>
  <si>
    <t>empeoró</t>
  </si>
  <si>
    <t>ROE</t>
  </si>
  <si>
    <t>ROA</t>
  </si>
  <si>
    <t>Rotación del Activo Corriente</t>
  </si>
  <si>
    <t>Rotación de créditos</t>
  </si>
  <si>
    <t>Rotación de Bienes de cambio</t>
  </si>
  <si>
    <t xml:space="preserve">RESPUESTA N°03 </t>
  </si>
  <si>
    <t xml:space="preserve">La situación financiera de corto plazo empeoró según lo que muestran los indicadores asociados a la solvencia y liquidez, sin embargo la empresa ha mejorado la solvencia de largo plazo situación que la vuele menos riesgosa </t>
  </si>
  <si>
    <t>Solvencia de corto plazo</t>
  </si>
  <si>
    <t>Liquidez</t>
  </si>
  <si>
    <t>Líquidez absoluta</t>
  </si>
  <si>
    <t>Endeudamiento</t>
  </si>
  <si>
    <t>Solvencia de largo plazo</t>
  </si>
  <si>
    <t xml:space="preserve">RESPUESTA N°04 </t>
  </si>
  <si>
    <t>WACC=TPPCC (2019)</t>
  </si>
  <si>
    <t>Kd</t>
  </si>
  <si>
    <t>DEUDA/ACTIVO</t>
  </si>
  <si>
    <t>Ke</t>
  </si>
  <si>
    <t>PN/ACTIVO</t>
  </si>
  <si>
    <t>WACC = TPPCC (2019)</t>
  </si>
  <si>
    <t>La tasa de costo de capital aumentó</t>
  </si>
  <si>
    <t>Tasa de impuesto a las ganancias</t>
  </si>
  <si>
    <t>WACC=TPPCC (2018)</t>
  </si>
  <si>
    <t>WACC = TPPCC (2018)</t>
  </si>
  <si>
    <t>La situación económica mejoró ya que tuvieron un aumento moderado de las rentabilidades tanto de la ROE como de la ROA, hecho que se ve reflejado en la mejora de la rotacion de bienes de cambio, asimismo  se observa una mejora en el margen sobre las ventas,  no obstante el resultado podria haber sido mejor ya que no fue acompañado por una mejoria en la rotacion del patrimonio neto y del activo.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</si>
</sst>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_-&quot;$&quot;* #,##0.00_-;\-&quot;$&quot;* #,##0.00_-;_-&quot;$&quot;* &quot;-&quot;??_-;_-@_-"/>
    <numFmt numFmtId="166" formatCode="#,##0.00_ ;\-#,##0.00\ "/>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rgb="FF000000"/>
      <name val="Calibri"/>
      <family val="2"/>
      <scheme val="minor"/>
    </font>
    <font>
      <b/>
      <u/>
      <sz val="11"/>
      <color indexed="8"/>
      <name val="Calibri"/>
      <family val="2"/>
    </font>
    <font>
      <sz val="11"/>
      <color indexed="8"/>
      <name val="Calibri"/>
      <family val="2"/>
    </font>
    <font>
      <b/>
      <sz val="11"/>
      <color indexed="8"/>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05">
    <xf numFmtId="0" fontId="0" fillId="0" borderId="0" xfId="0"/>
    <xf numFmtId="0" fontId="4" fillId="0" borderId="2" xfId="0" applyFont="1" applyBorder="1" applyAlignment="1">
      <alignment horizontal="center" vertical="center"/>
    </xf>
    <xf numFmtId="0" fontId="0" fillId="0" borderId="0" xfId="0" applyAlignment="1">
      <alignment vertical="center"/>
    </xf>
    <xf numFmtId="0" fontId="4" fillId="0" borderId="0" xfId="0" applyFont="1" applyAlignment="1">
      <alignment horizontal="center" vertical="center"/>
    </xf>
    <xf numFmtId="0" fontId="4" fillId="0" borderId="0" xfId="0" applyFont="1" applyAlignment="1">
      <alignment vertical="center" wrapText="1"/>
    </xf>
    <xf numFmtId="164" fontId="1" fillId="2" borderId="1" xfId="1" applyFont="1" applyFill="1" applyBorder="1"/>
    <xf numFmtId="0" fontId="0" fillId="2" borderId="14" xfId="0" applyFill="1" applyBorder="1" applyAlignment="1">
      <alignment horizontal="center" vertical="center" wrapText="1"/>
    </xf>
    <xf numFmtId="164" fontId="1" fillId="0" borderId="15" xfId="1" applyFont="1" applyFill="1" applyBorder="1"/>
    <xf numFmtId="165" fontId="0" fillId="2" borderId="14" xfId="0" applyNumberFormat="1" applyFill="1" applyBorder="1" applyAlignment="1">
      <alignment horizontal="center" vertical="center" wrapText="1"/>
    </xf>
    <xf numFmtId="164" fontId="1" fillId="2" borderId="15" xfId="1" applyFont="1" applyFill="1" applyBorder="1"/>
    <xf numFmtId="164" fontId="1" fillId="2" borderId="14" xfId="1" applyFont="1" applyFill="1" applyBorder="1"/>
    <xf numFmtId="165" fontId="1" fillId="2" borderId="1" xfId="1" applyNumberFormat="1" applyFont="1" applyFill="1" applyBorder="1"/>
    <xf numFmtId="164" fontId="1" fillId="2" borderId="1" xfId="1" applyFont="1" applyFill="1" applyBorder="1" applyAlignment="1">
      <alignment horizontal="center" vertical="center" wrapText="1"/>
    </xf>
    <xf numFmtId="165" fontId="1" fillId="2" borderId="13" xfId="1" applyNumberFormat="1" applyFont="1" applyFill="1" applyBorder="1"/>
    <xf numFmtId="164" fontId="1" fillId="3" borderId="15" xfId="1" applyFont="1" applyFill="1" applyBorder="1"/>
    <xf numFmtId="165" fontId="0" fillId="2" borderId="1" xfId="0" applyNumberFormat="1" applyFill="1" applyBorder="1"/>
    <xf numFmtId="164" fontId="1" fillId="0" borderId="13" xfId="1" applyFont="1" applyFill="1" applyBorder="1" applyAlignment="1"/>
    <xf numFmtId="165" fontId="0" fillId="2" borderId="18" xfId="0" applyNumberFormat="1" applyFill="1" applyBorder="1" applyAlignment="1">
      <alignment wrapText="1"/>
    </xf>
    <xf numFmtId="165" fontId="0" fillId="2" borderId="20" xfId="0" applyNumberFormat="1" applyFill="1" applyBorder="1"/>
    <xf numFmtId="165" fontId="0" fillId="2" borderId="21" xfId="0" applyNumberFormat="1" applyFill="1" applyBorder="1"/>
    <xf numFmtId="0" fontId="0" fillId="0" borderId="0" xfId="0" applyAlignment="1">
      <alignment wrapText="1"/>
    </xf>
    <xf numFmtId="165" fontId="0" fillId="0" borderId="0" xfId="0" applyNumberFormat="1"/>
    <xf numFmtId="0" fontId="0" fillId="0" borderId="23" xfId="0" applyBorder="1" applyAlignment="1">
      <alignment wrapText="1"/>
    </xf>
    <xf numFmtId="165" fontId="0" fillId="0" borderId="1" xfId="0" applyNumberFormat="1" applyBorder="1"/>
    <xf numFmtId="0" fontId="0" fillId="0" borderId="25" xfId="0" applyBorder="1" applyAlignment="1">
      <alignment wrapText="1"/>
    </xf>
    <xf numFmtId="165" fontId="0" fillId="0" borderId="25" xfId="0" applyNumberFormat="1" applyBorder="1"/>
    <xf numFmtId="165" fontId="0" fillId="0" borderId="20" xfId="0" applyNumberFormat="1" applyBorder="1"/>
    <xf numFmtId="0" fontId="0" fillId="0" borderId="26" xfId="0" applyBorder="1" applyAlignment="1">
      <alignment wrapText="1"/>
    </xf>
    <xf numFmtId="0" fontId="0" fillId="0" borderId="0" xfId="0" applyAlignment="1">
      <alignment horizontal="center" vertical="center"/>
    </xf>
    <xf numFmtId="0" fontId="0" fillId="0" borderId="9" xfId="0" applyBorder="1"/>
    <xf numFmtId="0" fontId="0" fillId="0" borderId="11" xfId="0" applyBorder="1"/>
    <xf numFmtId="10" fontId="1" fillId="0" borderId="1" xfId="2" applyNumberFormat="1" applyFont="1" applyBorder="1"/>
    <xf numFmtId="0" fontId="0" fillId="0" borderId="15" xfId="0" applyBorder="1"/>
    <xf numFmtId="2" fontId="0" fillId="0" borderId="1" xfId="0" applyNumberFormat="1" applyBorder="1"/>
    <xf numFmtId="166" fontId="0" fillId="0" borderId="1" xfId="0" applyNumberFormat="1" applyBorder="1"/>
    <xf numFmtId="2" fontId="1" fillId="0" borderId="1" xfId="2" applyNumberFormat="1" applyFont="1" applyBorder="1"/>
    <xf numFmtId="2" fontId="1" fillId="0" borderId="20" xfId="2" applyNumberFormat="1" applyFont="1" applyBorder="1"/>
    <xf numFmtId="166" fontId="0" fillId="0" borderId="20" xfId="0" applyNumberFormat="1" applyBorder="1"/>
    <xf numFmtId="0" fontId="0" fillId="0" borderId="22" xfId="0" applyBorder="1"/>
    <xf numFmtId="1" fontId="1" fillId="0" borderId="9" xfId="2" applyNumberFormat="1" applyFont="1" applyFill="1" applyBorder="1"/>
    <xf numFmtId="9" fontId="1" fillId="0" borderId="1" xfId="2" applyFont="1" applyBorder="1"/>
    <xf numFmtId="9" fontId="1" fillId="0" borderId="20" xfId="2" applyFont="1" applyBorder="1"/>
    <xf numFmtId="0" fontId="0" fillId="0" borderId="9" xfId="0" applyBorder="1" applyAlignment="1">
      <alignment horizontal="center" vertical="center"/>
    </xf>
    <xf numFmtId="9" fontId="1" fillId="2" borderId="20" xfId="2" applyFont="1" applyFill="1" applyBorder="1" applyAlignment="1">
      <alignment horizontal="center" vertical="center"/>
    </xf>
    <xf numFmtId="2" fontId="1" fillId="0" borderId="20" xfId="2" applyNumberFormat="1" applyFont="1" applyBorder="1" applyAlignment="1">
      <alignment horizontal="center" vertical="center"/>
    </xf>
    <xf numFmtId="10" fontId="1" fillId="2" borderId="20" xfId="2" applyNumberFormat="1" applyFont="1" applyFill="1" applyBorder="1" applyAlignment="1">
      <alignment horizontal="center" vertical="center"/>
    </xf>
    <xf numFmtId="166" fontId="0" fillId="0" borderId="20" xfId="0" applyNumberFormat="1" applyBorder="1" applyAlignment="1">
      <alignment horizontal="center" vertical="center"/>
    </xf>
    <xf numFmtId="10" fontId="1" fillId="0" borderId="20" xfId="2" applyNumberFormat="1" applyFont="1" applyBorder="1" applyAlignment="1">
      <alignment horizontal="center" vertical="center"/>
    </xf>
    <xf numFmtId="0" fontId="0" fillId="0" borderId="25" xfId="0" applyBorder="1"/>
    <xf numFmtId="0" fontId="0" fillId="0" borderId="26" xfId="0" applyBorder="1"/>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6" xfId="0" applyFont="1" applyBorder="1" applyAlignment="1">
      <alignment vertical="center" wrapText="1"/>
    </xf>
    <xf numFmtId="0" fontId="3" fillId="0" borderId="1" xfId="0" applyFont="1" applyBorder="1" applyAlignment="1">
      <alignment horizontal="center" wrapText="1"/>
    </xf>
    <xf numFmtId="0" fontId="4" fillId="0" borderId="5" xfId="0" applyFont="1" applyBorder="1" applyAlignment="1">
      <alignment vertical="center" wrapText="1"/>
    </xf>
    <xf numFmtId="0" fontId="0" fillId="2" borderId="13" xfId="0" applyFill="1" applyBorder="1" applyAlignment="1">
      <alignment wrapText="1"/>
    </xf>
    <xf numFmtId="0" fontId="0" fillId="2" borderId="1" xfId="0" applyFill="1" applyBorder="1" applyAlignment="1">
      <alignment wrapText="1"/>
    </xf>
    <xf numFmtId="0" fontId="0" fillId="2" borderId="1" xfId="0" applyFill="1" applyBorder="1" applyAlignment="1">
      <alignment horizontal="center"/>
    </xf>
    <xf numFmtId="0" fontId="0" fillId="2" borderId="16" xfId="0" applyFill="1" applyBorder="1"/>
    <xf numFmtId="0" fontId="0" fillId="2" borderId="13" xfId="0" applyFill="1" applyBorder="1"/>
    <xf numFmtId="0" fontId="0" fillId="2" borderId="14" xfId="0" applyFill="1" applyBorder="1"/>
    <xf numFmtId="0" fontId="0" fillId="2" borderId="1" xfId="0" applyFill="1" applyBorder="1" applyAlignment="1">
      <alignment horizontal="center" wrapText="1"/>
    </xf>
    <xf numFmtId="0" fontId="0" fillId="2" borderId="1" xfId="0" applyFill="1" applyBorder="1" applyAlignment="1">
      <alignment horizontal="center" vertical="center" wrapText="1"/>
    </xf>
    <xf numFmtId="164" fontId="1" fillId="2" borderId="17" xfId="1" applyFont="1" applyFill="1" applyBorder="1" applyAlignment="1">
      <alignment horizontal="center" vertical="center" wrapText="1"/>
    </xf>
    <xf numFmtId="0" fontId="0" fillId="2" borderId="18" xfId="0" applyFill="1" applyBorder="1" applyAlignment="1">
      <alignment wrapText="1"/>
    </xf>
    <xf numFmtId="0" fontId="0" fillId="2" borderId="14" xfId="0" applyFill="1" applyBorder="1" applyAlignment="1">
      <alignment wrapText="1"/>
    </xf>
    <xf numFmtId="0" fontId="0" fillId="2" borderId="16" xfId="0" applyFill="1" applyBorder="1" applyAlignment="1">
      <alignment wrapText="1"/>
    </xf>
    <xf numFmtId="0" fontId="0" fillId="2" borderId="20" xfId="0" applyFill="1" applyBorder="1" applyAlignment="1">
      <alignment wrapText="1"/>
    </xf>
    <xf numFmtId="164" fontId="1" fillId="2" borderId="15" xfId="1" applyFont="1" applyFill="1" applyBorder="1" applyAlignment="1">
      <alignment wrapText="1"/>
    </xf>
    <xf numFmtId="0" fontId="0" fillId="2" borderId="22" xfId="0" applyFill="1" applyBorder="1" applyAlignment="1">
      <alignment wrapText="1"/>
    </xf>
    <xf numFmtId="0" fontId="0" fillId="2" borderId="19" xfId="0" applyFill="1" applyBorder="1" applyAlignment="1">
      <alignment wrapText="1"/>
    </xf>
    <xf numFmtId="165" fontId="0" fillId="0" borderId="1" xfId="0" applyNumberFormat="1" applyBorder="1" applyAlignment="1">
      <alignment wrapText="1"/>
    </xf>
    <xf numFmtId="0" fontId="0" fillId="0" borderId="1" xfId="0" applyBorder="1" applyAlignment="1">
      <alignment wrapText="1"/>
    </xf>
    <xf numFmtId="0" fontId="0" fillId="0" borderId="20" xfId="0" applyBorder="1" applyAlignment="1">
      <alignment wrapText="1"/>
    </xf>
    <xf numFmtId="0" fontId="2" fillId="0" borderId="7"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4" xfId="0" applyFont="1" applyBorder="1" applyAlignment="1">
      <alignment horizontal="center" vertical="center" wrapText="1"/>
    </xf>
    <xf numFmtId="0" fontId="0" fillId="0" borderId="27" xfId="0" applyBorder="1" applyAlignment="1">
      <alignment wrapText="1"/>
    </xf>
    <xf numFmtId="0" fontId="0" fillId="0" borderId="9" xfId="0" applyBorder="1" applyAlignment="1">
      <alignment wrapText="1"/>
    </xf>
    <xf numFmtId="0" fontId="0" fillId="2" borderId="28"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0" xfId="0" applyFill="1" applyAlignment="1">
      <alignment horizontal="center" vertical="center" wrapText="1"/>
    </xf>
    <xf numFmtId="0" fontId="0" fillId="2" borderId="23"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26" xfId="0" applyFill="1" applyBorder="1" applyAlignment="1">
      <alignment horizontal="center" vertical="center" wrapText="1"/>
    </xf>
    <xf numFmtId="0" fontId="0" fillId="0" borderId="30" xfId="0" applyBorder="1" applyAlignment="1">
      <alignment wrapText="1"/>
    </xf>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9" xfId="0" applyFont="1" applyBorder="1" applyAlignment="1">
      <alignment horizontal="center"/>
    </xf>
    <xf numFmtId="0" fontId="2" fillId="0" borderId="11" xfId="0" applyFont="1" applyBorder="1" applyAlignment="1">
      <alignment horizontal="center"/>
    </xf>
    <xf numFmtId="0" fontId="0" fillId="0" borderId="31" xfId="0" applyBorder="1" applyAlignment="1">
      <alignment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0" fillId="0" borderId="8" xfId="0" applyBorder="1" applyAlignment="1">
      <alignment horizontal="center" vertical="center" wrapText="1"/>
    </xf>
    <xf numFmtId="0" fontId="0" fillId="0" borderId="19" xfId="0" applyBorder="1" applyAlignment="1">
      <alignment horizontal="center" vertical="center" wrapText="1"/>
    </xf>
    <xf numFmtId="0" fontId="0" fillId="2" borderId="35" xfId="0" applyFill="1" applyBorder="1" applyAlignment="1">
      <alignment horizontal="center" vertical="center" wrapText="1"/>
    </xf>
    <xf numFmtId="0" fontId="0" fillId="2" borderId="36" xfId="0" applyFill="1" applyBorder="1" applyAlignment="1">
      <alignment horizontal="center" vertical="center" wrapText="1"/>
    </xf>
    <xf numFmtId="10" fontId="1" fillId="2" borderId="35" xfId="2" applyNumberFormat="1" applyFont="1" applyFill="1" applyBorder="1" applyAlignment="1">
      <alignment horizontal="center" vertical="center" wrapText="1"/>
    </xf>
    <xf numFmtId="10" fontId="1" fillId="2" borderId="28" xfId="2" applyNumberFormat="1" applyFont="1" applyFill="1" applyBorder="1" applyAlignment="1">
      <alignment horizontal="center" vertical="center" wrapText="1"/>
    </xf>
    <xf numFmtId="10" fontId="1" fillId="2" borderId="36" xfId="2" applyNumberFormat="1" applyFont="1" applyFill="1" applyBorder="1" applyAlignment="1">
      <alignment horizontal="center" vertical="center" wrapText="1"/>
    </xf>
    <xf numFmtId="10" fontId="1" fillId="2" borderId="25" xfId="2" applyNumberFormat="1" applyFont="1" applyFill="1" applyBorder="1" applyAlignment="1">
      <alignment horizontal="center" vertical="center" wrapText="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4"/>
  <sheetViews>
    <sheetView tabSelected="1" workbookViewId="0">
      <selection sqref="A1:O1"/>
    </sheetView>
  </sheetViews>
  <sheetFormatPr baseColWidth="10" defaultRowHeight="14.5" x14ac:dyDescent="0.35"/>
  <cols>
    <col min="4" max="4" width="15" customWidth="1"/>
    <col min="5" max="5" width="15.54296875" customWidth="1"/>
    <col min="7" max="7" width="14" customWidth="1"/>
    <col min="8" max="8" width="17.54296875" customWidth="1"/>
    <col min="9" max="9" width="15.453125" customWidth="1"/>
    <col min="13" max="13" width="18.1796875" customWidth="1"/>
  </cols>
  <sheetData>
    <row r="1" spans="1:15" ht="18.5" x14ac:dyDescent="0.45">
      <c r="A1" s="53"/>
      <c r="B1" s="53"/>
      <c r="C1" s="53"/>
      <c r="D1" s="53"/>
      <c r="E1" s="53"/>
      <c r="F1" s="53"/>
      <c r="G1" s="53"/>
      <c r="H1" s="53"/>
      <c r="I1" s="53"/>
      <c r="J1" s="53"/>
      <c r="K1" s="53"/>
      <c r="L1" s="53"/>
      <c r="M1" s="53"/>
      <c r="N1" s="53"/>
      <c r="O1" s="53"/>
    </row>
    <row r="2" spans="1:15" ht="19" thickBot="1" x14ac:dyDescent="0.5">
      <c r="A2" s="53" t="s">
        <v>0</v>
      </c>
      <c r="B2" s="53"/>
      <c r="C2" s="53"/>
      <c r="D2" s="53"/>
      <c r="E2" s="53"/>
      <c r="F2" s="53"/>
      <c r="G2" s="53"/>
      <c r="H2" s="53"/>
      <c r="I2" s="53"/>
      <c r="J2" s="53"/>
      <c r="K2" s="53"/>
      <c r="L2" s="53"/>
      <c r="M2" s="53"/>
      <c r="N2" s="53"/>
      <c r="O2" s="53"/>
    </row>
    <row r="3" spans="1:15" ht="15" thickBot="1" x14ac:dyDescent="0.4">
      <c r="A3" s="1">
        <v>1</v>
      </c>
      <c r="B3" s="50" t="s">
        <v>1</v>
      </c>
      <c r="C3" s="51"/>
      <c r="D3" s="51"/>
      <c r="E3" s="51"/>
      <c r="F3" s="51"/>
      <c r="G3" s="51"/>
      <c r="H3" s="51"/>
      <c r="I3" s="51"/>
      <c r="J3" s="51"/>
      <c r="K3" s="51"/>
      <c r="L3" s="51"/>
      <c r="M3" s="54"/>
    </row>
    <row r="4" spans="1:15" ht="15" thickBot="1" x14ac:dyDescent="0.4">
      <c r="A4" s="2"/>
    </row>
    <row r="5" spans="1:15" ht="15" thickBot="1" x14ac:dyDescent="0.4">
      <c r="A5" s="1">
        <v>2</v>
      </c>
      <c r="B5" s="50" t="s">
        <v>2</v>
      </c>
      <c r="C5" s="51"/>
      <c r="D5" s="51"/>
      <c r="E5" s="51"/>
      <c r="F5" s="51"/>
      <c r="G5" s="51"/>
      <c r="H5" s="51"/>
      <c r="I5" s="51"/>
      <c r="J5" s="51"/>
      <c r="K5" s="51"/>
      <c r="L5" s="51"/>
      <c r="M5" s="54"/>
    </row>
    <row r="6" spans="1:15" ht="15" thickBot="1" x14ac:dyDescent="0.4">
      <c r="A6" s="2"/>
    </row>
    <row r="7" spans="1:15" ht="15" thickBot="1" x14ac:dyDescent="0.4">
      <c r="A7" s="1">
        <v>3</v>
      </c>
      <c r="B7" s="50" t="s">
        <v>3</v>
      </c>
      <c r="C7" s="51"/>
      <c r="D7" s="51"/>
      <c r="E7" s="51"/>
      <c r="F7" s="51"/>
      <c r="G7" s="51"/>
      <c r="H7" s="51"/>
      <c r="I7" s="51"/>
      <c r="J7" s="51"/>
      <c r="K7" s="51"/>
      <c r="L7" s="51"/>
      <c r="M7" s="52"/>
    </row>
    <row r="8" spans="1:15" ht="15" thickBot="1" x14ac:dyDescent="0.4">
      <c r="A8" s="3"/>
      <c r="B8" s="4"/>
      <c r="C8" s="4"/>
      <c r="D8" s="4"/>
      <c r="E8" s="4"/>
      <c r="F8" s="4"/>
      <c r="G8" s="4"/>
      <c r="H8" s="4"/>
      <c r="I8" s="4"/>
      <c r="J8" s="4"/>
      <c r="K8" s="4"/>
      <c r="L8" s="4"/>
      <c r="M8" s="4"/>
    </row>
    <row r="9" spans="1:15" ht="15" thickBot="1" x14ac:dyDescent="0.4">
      <c r="A9" s="1">
        <v>4</v>
      </c>
      <c r="B9" s="50" t="s">
        <v>4</v>
      </c>
      <c r="C9" s="51"/>
      <c r="D9" s="51"/>
      <c r="E9" s="51"/>
      <c r="F9" s="51"/>
      <c r="G9" s="51"/>
      <c r="H9" s="51"/>
      <c r="I9" s="51"/>
      <c r="J9" s="51"/>
      <c r="K9" s="51"/>
      <c r="L9" s="51"/>
      <c r="M9" s="52"/>
    </row>
    <row r="10" spans="1:15" ht="15" thickBot="1" x14ac:dyDescent="0.4">
      <c r="A10" s="3"/>
      <c r="B10" s="4"/>
      <c r="C10" s="4"/>
      <c r="D10" s="4"/>
      <c r="E10" s="4"/>
      <c r="F10" s="4"/>
      <c r="G10" s="4"/>
      <c r="H10" s="4"/>
      <c r="I10" s="4"/>
      <c r="J10" s="4"/>
      <c r="K10" s="4"/>
      <c r="L10" s="4"/>
      <c r="M10" s="4"/>
    </row>
    <row r="11" spans="1:15" x14ac:dyDescent="0.35">
      <c r="A11" s="74" t="s">
        <v>5</v>
      </c>
      <c r="B11" s="88" t="s">
        <v>6</v>
      </c>
      <c r="C11" s="89"/>
      <c r="D11" s="89"/>
      <c r="E11" s="89"/>
      <c r="F11" s="89"/>
      <c r="G11" s="89"/>
      <c r="H11" s="89"/>
      <c r="I11" s="90"/>
      <c r="J11" s="91" t="s">
        <v>7</v>
      </c>
      <c r="K11" s="91"/>
      <c r="L11" s="91"/>
      <c r="M11" s="92"/>
    </row>
    <row r="12" spans="1:15" ht="29" x14ac:dyDescent="0.35">
      <c r="A12" s="75"/>
      <c r="B12" s="55" t="s">
        <v>8</v>
      </c>
      <c r="C12" s="56"/>
      <c r="D12" s="5">
        <v>200000</v>
      </c>
      <c r="E12" s="62" t="s">
        <v>9</v>
      </c>
      <c r="F12" s="56" t="s">
        <v>10</v>
      </c>
      <c r="G12" s="56"/>
      <c r="H12" s="5">
        <v>890000</v>
      </c>
      <c r="I12" s="6" t="s">
        <v>11</v>
      </c>
      <c r="J12" s="61" t="s">
        <v>12</v>
      </c>
      <c r="K12" s="61"/>
      <c r="L12" s="61"/>
      <c r="M12" s="7">
        <f>+M13+M14</f>
        <v>3149999.9984615385</v>
      </c>
    </row>
    <row r="13" spans="1:15" x14ac:dyDescent="0.35">
      <c r="A13" s="75"/>
      <c r="B13" s="55" t="s">
        <v>13</v>
      </c>
      <c r="C13" s="56"/>
      <c r="D13" s="5">
        <v>300000</v>
      </c>
      <c r="E13" s="62"/>
      <c r="F13" s="56"/>
      <c r="G13" s="56"/>
      <c r="H13" s="5" t="s">
        <v>14</v>
      </c>
      <c r="I13" s="8">
        <f>+H12</f>
        <v>890000</v>
      </c>
      <c r="J13" s="57" t="s">
        <v>15</v>
      </c>
      <c r="K13" s="57"/>
      <c r="L13" s="57"/>
      <c r="M13" s="9">
        <v>1000000</v>
      </c>
    </row>
    <row r="14" spans="1:15" ht="29" x14ac:dyDescent="0.35">
      <c r="A14" s="75"/>
      <c r="B14" s="55" t="s">
        <v>16</v>
      </c>
      <c r="C14" s="56"/>
      <c r="D14" s="5">
        <v>500000</v>
      </c>
      <c r="E14" s="62"/>
      <c r="F14" s="56" t="s">
        <v>17</v>
      </c>
      <c r="G14" s="56"/>
      <c r="H14" s="5">
        <v>2110000</v>
      </c>
      <c r="I14" s="6" t="s">
        <v>18</v>
      </c>
      <c r="J14" s="57" t="s">
        <v>19</v>
      </c>
      <c r="K14" s="57"/>
      <c r="L14" s="57"/>
      <c r="M14" s="7">
        <f>+M15+M16</f>
        <v>2149999.9984615385</v>
      </c>
    </row>
    <row r="15" spans="1:15" x14ac:dyDescent="0.35">
      <c r="A15" s="75"/>
      <c r="B15" s="58"/>
      <c r="C15" s="58"/>
      <c r="D15" s="59"/>
      <c r="E15" s="5">
        <f>SUM(D12:D14)</f>
        <v>1000000</v>
      </c>
      <c r="F15" s="60"/>
      <c r="G15" s="58"/>
      <c r="H15" s="59"/>
      <c r="I15" s="10">
        <f>+H14</f>
        <v>2110000</v>
      </c>
      <c r="J15" s="61" t="s">
        <v>20</v>
      </c>
      <c r="K15" s="61"/>
      <c r="L15" s="61"/>
      <c r="M15" s="9">
        <v>611538.46</v>
      </c>
    </row>
    <row r="16" spans="1:15" ht="29" x14ac:dyDescent="0.35">
      <c r="A16" s="75"/>
      <c r="B16" s="55" t="s">
        <v>21</v>
      </c>
      <c r="C16" s="56"/>
      <c r="D16" s="11">
        <v>5200000</v>
      </c>
      <c r="E16" s="12" t="s">
        <v>22</v>
      </c>
      <c r="F16" s="56" t="s">
        <v>23</v>
      </c>
      <c r="G16" s="56"/>
      <c r="H16" s="13">
        <v>2200000</v>
      </c>
      <c r="I16" s="63" t="s">
        <v>24</v>
      </c>
      <c r="J16" s="61" t="s">
        <v>25</v>
      </c>
      <c r="K16" s="61"/>
      <c r="L16" s="61"/>
      <c r="M16" s="14">
        <f>+M18/(1-M41)</f>
        <v>1538461.5384615385</v>
      </c>
    </row>
    <row r="17" spans="1:13" x14ac:dyDescent="0.35">
      <c r="A17" s="75"/>
      <c r="B17" s="58"/>
      <c r="C17" s="58"/>
      <c r="D17" s="59"/>
      <c r="E17" s="15">
        <f>+D16</f>
        <v>5200000</v>
      </c>
      <c r="F17" s="60" t="s">
        <v>26</v>
      </c>
      <c r="G17" s="59"/>
      <c r="H17" s="16">
        <v>1000000</v>
      </c>
      <c r="I17" s="64"/>
      <c r="J17" s="57" t="s">
        <v>27</v>
      </c>
      <c r="K17" s="57"/>
      <c r="L17" s="57"/>
      <c r="M17" s="14">
        <f>+M16*M41</f>
        <v>538461.5384615385</v>
      </c>
    </row>
    <row r="18" spans="1:13" x14ac:dyDescent="0.35">
      <c r="A18" s="75"/>
      <c r="B18" s="58"/>
      <c r="C18" s="58"/>
      <c r="D18" s="59"/>
      <c r="E18" s="15"/>
      <c r="F18" s="65"/>
      <c r="G18" s="66"/>
      <c r="H18" s="55"/>
      <c r="I18" s="17">
        <f>+H17+H16</f>
        <v>3200000</v>
      </c>
      <c r="J18" s="61" t="s">
        <v>28</v>
      </c>
      <c r="K18" s="61"/>
      <c r="L18" s="61"/>
      <c r="M18" s="68">
        <f>+H17</f>
        <v>1000000</v>
      </c>
    </row>
    <row r="19" spans="1:13" ht="15" thickBot="1" x14ac:dyDescent="0.4">
      <c r="A19" s="75"/>
      <c r="B19" s="70" t="s">
        <v>29</v>
      </c>
      <c r="C19" s="67"/>
      <c r="D19" s="18">
        <f>SUM(D12:D17)</f>
        <v>6200000</v>
      </c>
      <c r="E19" s="18">
        <f>+E17+E15</f>
        <v>6200000</v>
      </c>
      <c r="F19" s="67" t="s">
        <v>30</v>
      </c>
      <c r="G19" s="67"/>
      <c r="H19" s="18">
        <f>+H12+H14+H16+H17</f>
        <v>6200000</v>
      </c>
      <c r="I19" s="19">
        <f>+I18+I15+I13</f>
        <v>6200000</v>
      </c>
      <c r="J19" s="67"/>
      <c r="K19" s="67"/>
      <c r="L19" s="67"/>
      <c r="M19" s="69"/>
    </row>
    <row r="20" spans="1:13" x14ac:dyDescent="0.35">
      <c r="A20" s="86"/>
      <c r="B20" s="20"/>
      <c r="C20" s="20"/>
      <c r="D20" s="21"/>
      <c r="E20" s="21"/>
      <c r="F20" s="20"/>
      <c r="G20" s="20"/>
      <c r="H20" s="21"/>
      <c r="I20" s="21"/>
      <c r="J20" s="20"/>
      <c r="K20" s="20"/>
      <c r="L20" s="20"/>
      <c r="M20" s="22"/>
    </row>
    <row r="21" spans="1:13" x14ac:dyDescent="0.35">
      <c r="A21" s="86"/>
      <c r="B21" s="20"/>
      <c r="C21" s="20"/>
      <c r="D21" s="21"/>
      <c r="E21" s="21"/>
      <c r="F21" s="71" t="str">
        <f>+I16</f>
        <v>Patrimonio Neto Final</v>
      </c>
      <c r="G21" s="72"/>
      <c r="H21" s="72"/>
      <c r="I21" s="23">
        <f>+I18</f>
        <v>3200000</v>
      </c>
      <c r="J21" s="20"/>
      <c r="K21" s="20"/>
      <c r="L21" s="20"/>
      <c r="M21" s="22"/>
    </row>
    <row r="22" spans="1:13" x14ac:dyDescent="0.35">
      <c r="A22" s="86"/>
      <c r="B22" s="20"/>
      <c r="C22" s="20"/>
      <c r="D22" s="21"/>
      <c r="E22" s="21"/>
      <c r="F22" s="72" t="s">
        <v>31</v>
      </c>
      <c r="G22" s="72"/>
      <c r="H22" s="72"/>
      <c r="I22" s="23">
        <f>+H16</f>
        <v>2200000</v>
      </c>
      <c r="J22" s="20"/>
      <c r="K22" s="20"/>
      <c r="L22" s="20"/>
      <c r="M22" s="22"/>
    </row>
    <row r="23" spans="1:13" ht="15" thickBot="1" x14ac:dyDescent="0.4">
      <c r="A23" s="87"/>
      <c r="B23" s="24"/>
      <c r="C23" s="24"/>
      <c r="D23" s="25"/>
      <c r="E23" s="25"/>
      <c r="F23" s="73" t="s">
        <v>32</v>
      </c>
      <c r="G23" s="73"/>
      <c r="H23" s="73"/>
      <c r="I23" s="26">
        <f>+(I21+I22)/2</f>
        <v>2700000</v>
      </c>
      <c r="J23" s="24"/>
      <c r="K23" s="24"/>
      <c r="L23" s="24"/>
      <c r="M23" s="27"/>
    </row>
    <row r="24" spans="1:13" ht="15" thickBot="1" x14ac:dyDescent="0.4">
      <c r="A24" s="28"/>
    </row>
    <row r="25" spans="1:13" x14ac:dyDescent="0.35">
      <c r="A25" s="74" t="s">
        <v>33</v>
      </c>
      <c r="B25" s="77" t="s">
        <v>34</v>
      </c>
      <c r="C25" s="78"/>
      <c r="D25" s="29">
        <v>2018</v>
      </c>
      <c r="E25" s="29">
        <v>2019</v>
      </c>
      <c r="F25" s="30" t="s">
        <v>35</v>
      </c>
      <c r="G25" s="79" t="s">
        <v>63</v>
      </c>
      <c r="H25" s="79"/>
      <c r="I25" s="79"/>
      <c r="J25" s="79"/>
      <c r="K25" s="79"/>
      <c r="L25" s="79"/>
      <c r="M25" s="80"/>
    </row>
    <row r="26" spans="1:13" x14ac:dyDescent="0.35">
      <c r="A26" s="75"/>
      <c r="B26" s="85" t="s">
        <v>36</v>
      </c>
      <c r="C26" s="72"/>
      <c r="D26" s="31">
        <v>0.28000000000000003</v>
      </c>
      <c r="E26" s="31">
        <f>+M18/M12</f>
        <v>0.31746031761536525</v>
      </c>
      <c r="F26" s="32" t="s">
        <v>37</v>
      </c>
      <c r="G26" s="81"/>
      <c r="H26" s="81"/>
      <c r="I26" s="81"/>
      <c r="J26" s="81"/>
      <c r="K26" s="81"/>
      <c r="L26" s="81"/>
      <c r="M26" s="82"/>
    </row>
    <row r="27" spans="1:13" x14ac:dyDescent="0.35">
      <c r="A27" s="75"/>
      <c r="B27" s="85" t="s">
        <v>38</v>
      </c>
      <c r="C27" s="72"/>
      <c r="D27" s="33">
        <f>+D28/D26</f>
        <v>1.2999999999999998</v>
      </c>
      <c r="E27" s="34">
        <f>+M12/I23</f>
        <v>1.1666666660968661</v>
      </c>
      <c r="F27" s="32" t="s">
        <v>39</v>
      </c>
      <c r="G27" s="81"/>
      <c r="H27" s="81"/>
      <c r="I27" s="81"/>
      <c r="J27" s="81"/>
      <c r="K27" s="81"/>
      <c r="L27" s="81"/>
      <c r="M27" s="82"/>
    </row>
    <row r="28" spans="1:13" x14ac:dyDescent="0.35">
      <c r="A28" s="75"/>
      <c r="B28" s="85" t="s">
        <v>40</v>
      </c>
      <c r="C28" s="72"/>
      <c r="D28" s="31">
        <v>0.36399999999999999</v>
      </c>
      <c r="E28" s="31">
        <f>M18/I23</f>
        <v>0.37037037037037035</v>
      </c>
      <c r="F28" s="32" t="s">
        <v>37</v>
      </c>
      <c r="G28" s="81"/>
      <c r="H28" s="81"/>
      <c r="I28" s="81"/>
      <c r="J28" s="81"/>
      <c r="K28" s="81"/>
      <c r="L28" s="81"/>
      <c r="M28" s="82"/>
    </row>
    <row r="29" spans="1:13" x14ac:dyDescent="0.35">
      <c r="A29" s="75"/>
      <c r="B29" s="85" t="s">
        <v>41</v>
      </c>
      <c r="C29" s="72"/>
      <c r="D29" s="31">
        <v>0.15</v>
      </c>
      <c r="E29" s="31">
        <f>M16/D19</f>
        <v>0.24813895781637718</v>
      </c>
      <c r="F29" s="32" t="s">
        <v>37</v>
      </c>
      <c r="G29" s="81"/>
      <c r="H29" s="81"/>
      <c r="I29" s="81"/>
      <c r="J29" s="81"/>
      <c r="K29" s="81"/>
      <c r="L29" s="81"/>
      <c r="M29" s="82"/>
    </row>
    <row r="30" spans="1:13" x14ac:dyDescent="0.35">
      <c r="A30" s="75"/>
      <c r="B30" s="85" t="s">
        <v>42</v>
      </c>
      <c r="C30" s="72"/>
      <c r="D30" s="35">
        <v>3.66</v>
      </c>
      <c r="E30" s="34">
        <f>+M12/E15</f>
        <v>3.1499999984615386</v>
      </c>
      <c r="F30" s="32" t="s">
        <v>39</v>
      </c>
      <c r="G30" s="81"/>
      <c r="H30" s="81"/>
      <c r="I30" s="81"/>
      <c r="J30" s="81"/>
      <c r="K30" s="81"/>
      <c r="L30" s="81"/>
      <c r="M30" s="82"/>
    </row>
    <row r="31" spans="1:13" x14ac:dyDescent="0.35">
      <c r="A31" s="75"/>
      <c r="B31" s="85" t="s">
        <v>43</v>
      </c>
      <c r="C31" s="72"/>
      <c r="D31" s="35">
        <v>11</v>
      </c>
      <c r="E31" s="34">
        <f>+M12/D13</f>
        <v>10.499999994871795</v>
      </c>
      <c r="F31" s="32" t="s">
        <v>39</v>
      </c>
      <c r="G31" s="81"/>
      <c r="H31" s="81"/>
      <c r="I31" s="81"/>
      <c r="J31" s="81"/>
      <c r="K31" s="81"/>
      <c r="L31" s="81"/>
      <c r="M31" s="82"/>
    </row>
    <row r="32" spans="1:13" ht="15" thickBot="1" x14ac:dyDescent="0.4">
      <c r="A32" s="76"/>
      <c r="B32" s="93" t="s">
        <v>44</v>
      </c>
      <c r="C32" s="73"/>
      <c r="D32" s="36">
        <v>7</v>
      </c>
      <c r="E32" s="37">
        <f>M13/D14</f>
        <v>2</v>
      </c>
      <c r="F32" s="38" t="s">
        <v>37</v>
      </c>
      <c r="G32" s="83"/>
      <c r="H32" s="83"/>
      <c r="I32" s="83"/>
      <c r="J32" s="83"/>
      <c r="K32" s="83"/>
      <c r="L32" s="83"/>
      <c r="M32" s="84"/>
    </row>
    <row r="33" spans="1:13" ht="15" thickBot="1" x14ac:dyDescent="0.4">
      <c r="A33" s="28"/>
    </row>
    <row r="34" spans="1:13" x14ac:dyDescent="0.35">
      <c r="A34" s="94" t="s">
        <v>45</v>
      </c>
      <c r="B34" s="77" t="s">
        <v>34</v>
      </c>
      <c r="C34" s="78"/>
      <c r="D34" s="39">
        <v>2018</v>
      </c>
      <c r="E34" s="29">
        <v>2019</v>
      </c>
      <c r="F34" s="30" t="s">
        <v>35</v>
      </c>
      <c r="G34" s="79" t="s">
        <v>46</v>
      </c>
      <c r="H34" s="79"/>
      <c r="I34" s="79"/>
      <c r="J34" s="79"/>
      <c r="K34" s="79"/>
      <c r="L34" s="79"/>
      <c r="M34" s="80"/>
    </row>
    <row r="35" spans="1:13" x14ac:dyDescent="0.35">
      <c r="A35" s="95"/>
      <c r="B35" s="85" t="s">
        <v>47</v>
      </c>
      <c r="C35" s="72"/>
      <c r="D35" s="33">
        <v>1.5</v>
      </c>
      <c r="E35" s="34">
        <f>+E15/I13</f>
        <v>1.1235955056179776</v>
      </c>
      <c r="F35" s="32" t="s">
        <v>39</v>
      </c>
      <c r="G35" s="81"/>
      <c r="H35" s="81"/>
      <c r="I35" s="81"/>
      <c r="J35" s="81"/>
      <c r="K35" s="81"/>
      <c r="L35" s="81"/>
      <c r="M35" s="82"/>
    </row>
    <row r="36" spans="1:13" x14ac:dyDescent="0.35">
      <c r="A36" s="95"/>
      <c r="B36" s="85" t="s">
        <v>48</v>
      </c>
      <c r="C36" s="72"/>
      <c r="D36" s="33">
        <v>0.7</v>
      </c>
      <c r="E36" s="34">
        <f>+(D12+D13)/I13</f>
        <v>0.5617977528089888</v>
      </c>
      <c r="F36" s="32" t="s">
        <v>39</v>
      </c>
      <c r="G36" s="81"/>
      <c r="H36" s="81"/>
      <c r="I36" s="81"/>
      <c r="J36" s="81"/>
      <c r="K36" s="81"/>
      <c r="L36" s="81"/>
      <c r="M36" s="82"/>
    </row>
    <row r="37" spans="1:13" x14ac:dyDescent="0.35">
      <c r="A37" s="95"/>
      <c r="B37" s="85" t="s">
        <v>49</v>
      </c>
      <c r="C37" s="72"/>
      <c r="D37" s="33">
        <v>0.4</v>
      </c>
      <c r="E37" s="34">
        <f>+D12/I13</f>
        <v>0.2247191011235955</v>
      </c>
      <c r="F37" s="32" t="s">
        <v>39</v>
      </c>
      <c r="G37" s="81"/>
      <c r="H37" s="81"/>
      <c r="I37" s="81"/>
      <c r="J37" s="81"/>
      <c r="K37" s="81"/>
      <c r="L37" s="81"/>
      <c r="M37" s="82"/>
    </row>
    <row r="38" spans="1:13" x14ac:dyDescent="0.35">
      <c r="A38" s="95"/>
      <c r="B38" s="85" t="s">
        <v>50</v>
      </c>
      <c r="C38" s="72"/>
      <c r="D38" s="40">
        <v>0.55000000000000004</v>
      </c>
      <c r="E38" s="40">
        <f>+(I15+I13)/D19</f>
        <v>0.4838709677419355</v>
      </c>
      <c r="F38" s="32" t="s">
        <v>37</v>
      </c>
      <c r="G38" s="81"/>
      <c r="H38" s="81"/>
      <c r="I38" s="81"/>
      <c r="J38" s="81"/>
      <c r="K38" s="81"/>
      <c r="L38" s="81"/>
      <c r="M38" s="82"/>
    </row>
    <row r="39" spans="1:13" ht="15" thickBot="1" x14ac:dyDescent="0.4">
      <c r="A39" s="96"/>
      <c r="B39" s="93" t="s">
        <v>51</v>
      </c>
      <c r="C39" s="73"/>
      <c r="D39" s="41">
        <v>0.45</v>
      </c>
      <c r="E39" s="41">
        <f>1-E38</f>
        <v>0.5161290322580645</v>
      </c>
      <c r="F39" s="38" t="s">
        <v>37</v>
      </c>
      <c r="G39" s="83"/>
      <c r="H39" s="83"/>
      <c r="I39" s="83"/>
      <c r="J39" s="83"/>
      <c r="K39" s="83"/>
      <c r="L39" s="83"/>
      <c r="M39" s="84"/>
    </row>
    <row r="40" spans="1:13" ht="15" thickBot="1" x14ac:dyDescent="0.4">
      <c r="A40" s="28"/>
    </row>
    <row r="41" spans="1:13" x14ac:dyDescent="0.35">
      <c r="A41" s="74" t="s">
        <v>52</v>
      </c>
      <c r="B41" s="97" t="s">
        <v>53</v>
      </c>
      <c r="C41" s="42" t="s">
        <v>54</v>
      </c>
      <c r="D41" s="42" t="s">
        <v>55</v>
      </c>
      <c r="E41" s="42" t="s">
        <v>56</v>
      </c>
      <c r="F41" s="42" t="s">
        <v>57</v>
      </c>
      <c r="G41" s="42" t="s">
        <v>58</v>
      </c>
      <c r="H41" s="99" t="s">
        <v>59</v>
      </c>
      <c r="I41" s="79"/>
      <c r="J41" s="29" t="s">
        <v>60</v>
      </c>
      <c r="K41" s="29"/>
      <c r="L41" s="29"/>
      <c r="M41" s="30">
        <v>0.35</v>
      </c>
    </row>
    <row r="42" spans="1:13" ht="15" thickBot="1" x14ac:dyDescent="0.4">
      <c r="A42" s="75"/>
      <c r="B42" s="98"/>
      <c r="C42" s="43">
        <v>0.2</v>
      </c>
      <c r="D42" s="44">
        <f>+(I15+I13)/D19</f>
        <v>0.4838709677419355</v>
      </c>
      <c r="E42" s="45">
        <v>0.25</v>
      </c>
      <c r="F42" s="46">
        <f>+I18/D19</f>
        <v>0.5161290322580645</v>
      </c>
      <c r="G42" s="47">
        <f>+C42*(1-M41)*D42+E42*F42</f>
        <v>0.19193548387096776</v>
      </c>
      <c r="H42" s="100"/>
      <c r="I42" s="83"/>
      <c r="J42" s="48"/>
      <c r="K42" s="48"/>
      <c r="L42" s="48"/>
      <c r="M42" s="49"/>
    </row>
    <row r="43" spans="1:13" x14ac:dyDescent="0.35">
      <c r="A43" s="75"/>
      <c r="B43" s="97" t="s">
        <v>61</v>
      </c>
      <c r="C43" s="42" t="s">
        <v>54</v>
      </c>
      <c r="D43" s="42" t="s">
        <v>55</v>
      </c>
      <c r="E43" s="42" t="s">
        <v>56</v>
      </c>
      <c r="F43" s="42" t="s">
        <v>57</v>
      </c>
      <c r="G43" s="42" t="s">
        <v>62</v>
      </c>
      <c r="H43" s="101">
        <f>+(G42-G44)/G44</f>
        <v>4.3127629733520453E-2</v>
      </c>
      <c r="I43" s="102"/>
      <c r="J43" s="29" t="s">
        <v>60</v>
      </c>
      <c r="K43" s="29"/>
      <c r="L43" s="29"/>
      <c r="M43" s="30">
        <v>0.35</v>
      </c>
    </row>
    <row r="44" spans="1:13" ht="15" thickBot="1" x14ac:dyDescent="0.4">
      <c r="A44" s="76"/>
      <c r="B44" s="98"/>
      <c r="C44" s="43">
        <f>+C42</f>
        <v>0.2</v>
      </c>
      <c r="D44" s="44">
        <v>0.55000000000000004</v>
      </c>
      <c r="E44" s="45">
        <f>+E42</f>
        <v>0.25</v>
      </c>
      <c r="F44" s="46">
        <v>0.45</v>
      </c>
      <c r="G44" s="47">
        <f>+C44*(1-M43)*D44+E44*F44</f>
        <v>0.184</v>
      </c>
      <c r="H44" s="103"/>
      <c r="I44" s="104"/>
      <c r="J44" s="48"/>
      <c r="K44" s="48"/>
      <c r="L44" s="48"/>
      <c r="M44" s="49"/>
    </row>
  </sheetData>
  <mergeCells count="61">
    <mergeCell ref="G34:M39"/>
    <mergeCell ref="A41:A44"/>
    <mergeCell ref="B41:B42"/>
    <mergeCell ref="H41:I42"/>
    <mergeCell ref="B43:B44"/>
    <mergeCell ref="H43:I44"/>
    <mergeCell ref="B32:C32"/>
    <mergeCell ref="A34:A39"/>
    <mergeCell ref="B34:C34"/>
    <mergeCell ref="B35:C35"/>
    <mergeCell ref="B36:C36"/>
    <mergeCell ref="B37:C37"/>
    <mergeCell ref="B38:C38"/>
    <mergeCell ref="B39:C39"/>
    <mergeCell ref="F21:H21"/>
    <mergeCell ref="F22:H22"/>
    <mergeCell ref="F23:H23"/>
    <mergeCell ref="A25:A32"/>
    <mergeCell ref="B25:C25"/>
    <mergeCell ref="G25:M32"/>
    <mergeCell ref="B26:C26"/>
    <mergeCell ref="B27:C27"/>
    <mergeCell ref="B28:C28"/>
    <mergeCell ref="B29:C29"/>
    <mergeCell ref="A11:A23"/>
    <mergeCell ref="B11:I11"/>
    <mergeCell ref="J11:M11"/>
    <mergeCell ref="B12:C12"/>
    <mergeCell ref="B30:C30"/>
    <mergeCell ref="B31:C31"/>
    <mergeCell ref="B18:D18"/>
    <mergeCell ref="F18:H18"/>
    <mergeCell ref="J18:L19"/>
    <mergeCell ref="M18:M19"/>
    <mergeCell ref="B19:C19"/>
    <mergeCell ref="F19:G19"/>
    <mergeCell ref="B16:C16"/>
    <mergeCell ref="F16:G16"/>
    <mergeCell ref="I16:I17"/>
    <mergeCell ref="J16:L16"/>
    <mergeCell ref="B17:D17"/>
    <mergeCell ref="F17:G17"/>
    <mergeCell ref="J17:L17"/>
    <mergeCell ref="B14:C14"/>
    <mergeCell ref="F14:G14"/>
    <mergeCell ref="J14:L14"/>
    <mergeCell ref="B15:D15"/>
    <mergeCell ref="F15:H15"/>
    <mergeCell ref="J15:L15"/>
    <mergeCell ref="E12:E14"/>
    <mergeCell ref="F12:G12"/>
    <mergeCell ref="J12:L12"/>
    <mergeCell ref="B13:C13"/>
    <mergeCell ref="F13:G13"/>
    <mergeCell ref="J13:L13"/>
    <mergeCell ref="B9:M9"/>
    <mergeCell ref="A1:O1"/>
    <mergeCell ref="A2:O2"/>
    <mergeCell ref="B3:M3"/>
    <mergeCell ref="B5:M5"/>
    <mergeCell ref="B7:M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Silvana García</cp:lastModifiedBy>
  <dcterms:created xsi:type="dcterms:W3CDTF">2022-04-28T15:55:47Z</dcterms:created>
  <dcterms:modified xsi:type="dcterms:W3CDTF">2024-10-01T19:01:15Z</dcterms:modified>
</cp:coreProperties>
</file>