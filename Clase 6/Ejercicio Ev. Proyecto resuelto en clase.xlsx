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ilva\Desktop\Mis Documentos\Economia Homogenea\PRESENTACIONES SLIDE\PRESENTACIONES\Año 2022\"/>
    </mc:Choice>
  </mc:AlternateContent>
  <xr:revisionPtr revIDLastSave="0" documentId="13_ncr:1_{59681DFD-9AFF-45FD-A027-D9983925AE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12" i="1"/>
  <c r="G7" i="1"/>
  <c r="G6" i="1"/>
  <c r="B4" i="1"/>
  <c r="B19" i="1" l="1"/>
  <c r="F35" i="1"/>
  <c r="E14" i="1"/>
  <c r="E21" i="1" s="1"/>
  <c r="D14" i="1"/>
  <c r="D21" i="1" s="1"/>
  <c r="C14" i="1"/>
  <c r="G10" i="1"/>
  <c r="B14" i="1"/>
  <c r="B16" i="1" s="1"/>
  <c r="B22" i="1" l="1"/>
  <c r="B26" i="1"/>
  <c r="C16" i="1"/>
  <c r="D16" i="1" s="1"/>
  <c r="E16" i="1" s="1"/>
  <c r="C21" i="1"/>
  <c r="E22" i="1"/>
  <c r="B21" i="1"/>
  <c r="C24" i="1" l="1"/>
</calcChain>
</file>

<file path=xl/sharedStrings.xml><?xml version="1.0" encoding="utf-8"?>
<sst xmlns="http://schemas.openxmlformats.org/spreadsheetml/2006/main" count="45" uniqueCount="44">
  <si>
    <t>Instantes</t>
  </si>
  <si>
    <t>Vi - VF = VA</t>
  </si>
  <si>
    <t>VA =</t>
  </si>
  <si>
    <t>FFA</t>
  </si>
  <si>
    <t>Beneficio Neto=</t>
  </si>
  <si>
    <t>VAN 15%</t>
  </si>
  <si>
    <t xml:space="preserve">VAN 15% = </t>
  </si>
  <si>
    <r>
      <t>∑ FF / (1+ i)^</t>
    </r>
    <r>
      <rPr>
        <vertAlign val="superscript"/>
        <sz val="14"/>
        <rFont val="Calibri"/>
        <family val="2"/>
      </rPr>
      <t>n</t>
    </r>
  </si>
  <si>
    <t>TIR =</t>
  </si>
  <si>
    <t>Cuota amortiz</t>
  </si>
  <si>
    <t>Inversión en Activo Fijo</t>
  </si>
  <si>
    <t>IVA Crédito Fiscal</t>
  </si>
  <si>
    <t>Inversión Activo de Trabajo</t>
  </si>
  <si>
    <t>Recupero de Crédito Fiscal</t>
  </si>
  <si>
    <t>Recupero de Activo Fijo</t>
  </si>
  <si>
    <t>Recupero del Activo de Trabajo</t>
  </si>
  <si>
    <t>UAII y H</t>
  </si>
  <si>
    <t>Amortizaciones</t>
  </si>
  <si>
    <t xml:space="preserve">Honorarios a los directores </t>
  </si>
  <si>
    <t>I.Gcia</t>
  </si>
  <si>
    <t>FF (Ingresos - Egresos)</t>
  </si>
  <si>
    <t>PROYECTO A</t>
  </si>
  <si>
    <t>PROYECTO B</t>
  </si>
  <si>
    <t>PROYECTO C</t>
  </si>
  <si>
    <t>PROYECTO ANALIZADO</t>
  </si>
  <si>
    <t>Tipos de proyectos</t>
  </si>
  <si>
    <t>Independiente</t>
  </si>
  <si>
    <t>Independ</t>
  </si>
  <si>
    <t>Mutuam excluy Analizado</t>
  </si>
  <si>
    <t>Mutuam excluy C</t>
  </si>
  <si>
    <t>TIR</t>
  </si>
  <si>
    <t>Inversión Inicial</t>
  </si>
  <si>
    <t xml:space="preserve">VAN </t>
  </si>
  <si>
    <t>PRP</t>
  </si>
  <si>
    <t>INVERSION TOTAL</t>
  </si>
  <si>
    <t>DESCARTO</t>
  </si>
  <si>
    <t>PRIORIZACIÓN</t>
  </si>
  <si>
    <t>B</t>
  </si>
  <si>
    <t>A</t>
  </si>
  <si>
    <t xml:space="preserve"> Tasa (0%) o Beneficio Neto</t>
  </si>
  <si>
    <t>ANALIZADO</t>
  </si>
  <si>
    <t xml:space="preserve">AÑOS + </t>
  </si>
  <si>
    <t>(ff)/(1+0.15)n</t>
  </si>
  <si>
    <t>PRS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</si>
</sst>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;[Red]\-&quot;$&quot;\ #,##0.00"/>
    <numFmt numFmtId="165" formatCode="&quot;$&quot;\ 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4"/>
      <name val="Calibri"/>
      <family val="2"/>
    </font>
    <font>
      <vertAlign val="superscript"/>
      <sz val="14"/>
      <name val="Calibri"/>
      <family val="2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0" borderId="0" xfId="0" applyFont="1"/>
    <xf numFmtId="3" fontId="0" fillId="0" borderId="0" xfId="0" applyNumberFormat="1"/>
    <xf numFmtId="0" fontId="3" fillId="3" borderId="2" xfId="0" applyFont="1" applyFill="1" applyBorder="1"/>
    <xf numFmtId="3" fontId="3" fillId="3" borderId="3" xfId="0" applyNumberFormat="1" applyFont="1" applyFill="1" applyBorder="1"/>
    <xf numFmtId="0" fontId="4" fillId="0" borderId="2" xfId="0" applyFont="1" applyBorder="1"/>
    <xf numFmtId="0" fontId="5" fillId="0" borderId="4" xfId="0" applyFont="1" applyBorder="1"/>
    <xf numFmtId="0" fontId="0" fillId="0" borderId="3" xfId="0" applyBorder="1"/>
    <xf numFmtId="165" fontId="3" fillId="3" borderId="3" xfId="0" applyNumberFormat="1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4" fontId="0" fillId="3" borderId="3" xfId="0" applyNumberFormat="1" applyFill="1" applyBorder="1" applyAlignment="1">
      <alignment horizontal="left"/>
    </xf>
    <xf numFmtId="164" fontId="0" fillId="0" borderId="0" xfId="0" applyNumberFormat="1"/>
    <xf numFmtId="9" fontId="0" fillId="3" borderId="3" xfId="0" applyNumberFormat="1" applyFill="1" applyBorder="1"/>
    <xf numFmtId="9" fontId="1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3" fontId="0" fillId="4" borderId="1" xfId="0" applyNumberFormat="1" applyFill="1" applyBorder="1"/>
    <xf numFmtId="9" fontId="0" fillId="4" borderId="0" xfId="0" applyNumberFormat="1" applyFill="1" applyAlignment="1">
      <alignment wrapText="1"/>
    </xf>
    <xf numFmtId="3" fontId="0" fillId="4" borderId="0" xfId="0" applyNumberFormat="1" applyFill="1"/>
    <xf numFmtId="3" fontId="7" fillId="0" borderId="1" xfId="0" applyNumberFormat="1" applyFont="1" applyBorder="1"/>
    <xf numFmtId="0" fontId="7" fillId="0" borderId="1" xfId="0" applyFont="1" applyBorder="1"/>
    <xf numFmtId="3" fontId="0" fillId="5" borderId="1" xfId="0" applyNumberFormat="1" applyFill="1" applyBorder="1"/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1" fillId="5" borderId="1" xfId="0" applyFont="1" applyFill="1" applyBorder="1"/>
    <xf numFmtId="3" fontId="2" fillId="5" borderId="1" xfId="0" applyNumberFormat="1" applyFont="1" applyFill="1" applyBorder="1"/>
    <xf numFmtId="3" fontId="8" fillId="0" borderId="1" xfId="0" applyNumberFormat="1" applyFont="1" applyBorder="1"/>
    <xf numFmtId="0" fontId="1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742950</xdr:colOff>
      <xdr:row>0</xdr:row>
      <xdr:rowOff>0</xdr:rowOff>
    </xdr:from>
    <xdr:to>
      <xdr:col>16</xdr:col>
      <xdr:colOff>619125</xdr:colOff>
      <xdr:row>16</xdr:row>
      <xdr:rowOff>57150</xdr:rowOff>
    </xdr:to>
    <xdr:pic>
      <xdr:nvPicPr>
        <xdr:cNvPr id="4" name="Picture 2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6650" y="0"/>
          <a:ext cx="5972175" cy="300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625475</xdr:colOff>
      <xdr:row>17</xdr:row>
      <xdr:rowOff>161925</xdr:rowOff>
    </xdr:from>
    <xdr:to>
      <xdr:col>14</xdr:col>
      <xdr:colOff>222250</xdr:colOff>
      <xdr:row>26</xdr:row>
      <xdr:rowOff>82550</xdr:rowOff>
    </xdr:to>
    <xdr:pic>
      <xdr:nvPicPr>
        <xdr:cNvPr id="5" name="Picture 2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3175" y="3292475"/>
          <a:ext cx="6454775" cy="171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3"/>
  <sheetViews>
    <sheetView tabSelected="1" workbookViewId="0">
      <selection activeCell="E13" sqref="E13"/>
    </sheetView>
  </sheetViews>
  <sheetFormatPr baseColWidth="10" defaultRowHeight="14.5" x14ac:dyDescent="0.35"/>
  <cols>
    <col min="1" max="1" width="26.81640625" customWidth="1"/>
    <col min="2" max="2" width="13.81640625" customWidth="1"/>
    <col min="3" max="3" width="15.26953125" customWidth="1"/>
    <col min="4" max="4" width="23.453125" customWidth="1"/>
    <col min="5" max="5" width="20.81640625" customWidth="1"/>
  </cols>
  <sheetData>
    <row r="2" spans="1:10" x14ac:dyDescent="0.35">
      <c r="A2" s="1" t="s">
        <v>0</v>
      </c>
      <c r="B2" s="2">
        <v>0</v>
      </c>
      <c r="C2" s="2">
        <v>1</v>
      </c>
      <c r="D2" s="2">
        <v>2</v>
      </c>
      <c r="E2" s="2">
        <v>3</v>
      </c>
    </row>
    <row r="3" spans="1:10" x14ac:dyDescent="0.35">
      <c r="A3" s="1" t="s">
        <v>10</v>
      </c>
      <c r="B3" s="24">
        <v>-1500000</v>
      </c>
      <c r="C3" s="24"/>
      <c r="D3" s="4"/>
      <c r="E3" s="4"/>
    </row>
    <row r="4" spans="1:10" x14ac:dyDescent="0.35">
      <c r="A4" s="1" t="s">
        <v>11</v>
      </c>
      <c r="B4" s="24">
        <f>B3*10.5%</f>
        <v>-157500</v>
      </c>
      <c r="C4" s="25"/>
      <c r="D4" s="3"/>
      <c r="E4" s="3"/>
    </row>
    <row r="5" spans="1:10" x14ac:dyDescent="0.35">
      <c r="A5" s="1" t="s">
        <v>12</v>
      </c>
      <c r="B5" s="25"/>
      <c r="C5" s="24">
        <v>-200000</v>
      </c>
      <c r="D5" s="3"/>
      <c r="E5" s="3"/>
    </row>
    <row r="6" spans="1:10" x14ac:dyDescent="0.35">
      <c r="A6" s="1" t="s">
        <v>13</v>
      </c>
      <c r="B6" s="3"/>
      <c r="D6" s="31">
        <v>157500</v>
      </c>
      <c r="E6" s="4"/>
      <c r="F6" s="5" t="s">
        <v>1</v>
      </c>
      <c r="G6">
        <f>1500000 - 300000</f>
        <v>1200000</v>
      </c>
    </row>
    <row r="7" spans="1:10" x14ac:dyDescent="0.35">
      <c r="A7" s="1" t="s">
        <v>14</v>
      </c>
      <c r="B7" s="4"/>
      <c r="C7" s="3"/>
      <c r="D7" s="3"/>
      <c r="E7" s="31">
        <v>300000</v>
      </c>
      <c r="F7" s="5" t="s">
        <v>2</v>
      </c>
      <c r="G7">
        <f>1500000 - 300000</f>
        <v>1200000</v>
      </c>
    </row>
    <row r="8" spans="1:10" x14ac:dyDescent="0.35">
      <c r="A8" s="1" t="s">
        <v>15</v>
      </c>
      <c r="B8" s="3"/>
      <c r="C8" s="3"/>
      <c r="D8" s="4"/>
      <c r="E8" s="31">
        <v>200000</v>
      </c>
      <c r="J8" s="5"/>
    </row>
    <row r="9" spans="1:10" x14ac:dyDescent="0.35">
      <c r="A9" s="1" t="s">
        <v>16</v>
      </c>
      <c r="B9" s="3"/>
      <c r="C9" s="31">
        <v>326800</v>
      </c>
      <c r="D9" s="31">
        <v>526800</v>
      </c>
      <c r="E9" s="31">
        <v>726800</v>
      </c>
      <c r="F9" s="6"/>
    </row>
    <row r="10" spans="1:10" x14ac:dyDescent="0.35">
      <c r="A10" s="1" t="s">
        <v>17</v>
      </c>
      <c r="B10" s="3"/>
      <c r="C10" s="31">
        <v>400000</v>
      </c>
      <c r="D10" s="31">
        <v>400000</v>
      </c>
      <c r="E10" s="31">
        <v>400000</v>
      </c>
      <c r="F10" t="s">
        <v>9</v>
      </c>
      <c r="G10">
        <f>G7/3</f>
        <v>400000</v>
      </c>
    </row>
    <row r="11" spans="1:10" x14ac:dyDescent="0.35">
      <c r="A11" s="1" t="s">
        <v>18</v>
      </c>
      <c r="B11" s="3"/>
      <c r="C11" s="31">
        <v>-100000</v>
      </c>
      <c r="D11" s="31">
        <v>-100000</v>
      </c>
      <c r="E11" s="31">
        <v>-100000</v>
      </c>
      <c r="F11" s="6"/>
    </row>
    <row r="12" spans="1:10" x14ac:dyDescent="0.35">
      <c r="A12" s="1" t="s">
        <v>19</v>
      </c>
      <c r="B12" s="3"/>
      <c r="C12" s="24">
        <f>-(C9+C11)*0.35</f>
        <v>-79380</v>
      </c>
      <c r="D12" s="24">
        <f>-(D9+D11)*0.35</f>
        <v>-149380</v>
      </c>
      <c r="E12" s="24">
        <f>-(E9+E11)*0.35</f>
        <v>-219380</v>
      </c>
      <c r="F12" s="6"/>
    </row>
    <row r="13" spans="1:10" x14ac:dyDescent="0.35">
      <c r="A13" s="1"/>
      <c r="B13" s="4"/>
      <c r="C13" s="4"/>
      <c r="D13" s="4"/>
      <c r="E13" s="4"/>
    </row>
    <row r="14" spans="1:10" x14ac:dyDescent="0.35">
      <c r="A14" s="1" t="s">
        <v>20</v>
      </c>
      <c r="B14" s="21">
        <f>SUM(B3:B13)</f>
        <v>-1657500</v>
      </c>
      <c r="C14" s="21">
        <f>SUM(C3:C13)</f>
        <v>347420</v>
      </c>
      <c r="D14" s="21">
        <f>SUM(D3:D13)</f>
        <v>834920</v>
      </c>
      <c r="E14" s="21">
        <f>SUM(E3:E13)</f>
        <v>1307420</v>
      </c>
    </row>
    <row r="15" spans="1:10" x14ac:dyDescent="0.35">
      <c r="A15" s="1"/>
      <c r="B15" s="4"/>
      <c r="C15" s="4"/>
      <c r="D15" s="4"/>
      <c r="E15" s="4"/>
    </row>
    <row r="16" spans="1:10" x14ac:dyDescent="0.35">
      <c r="A16" s="29" t="s">
        <v>3</v>
      </c>
      <c r="B16" s="26">
        <f>B14</f>
        <v>-1657500</v>
      </c>
      <c r="C16" s="26">
        <f>B16+C14</f>
        <v>-1310080</v>
      </c>
      <c r="D16" s="26">
        <f>C16+D14</f>
        <v>-475160</v>
      </c>
      <c r="E16" s="30">
        <f>D16+E14</f>
        <v>832260</v>
      </c>
      <c r="F16" s="5" t="s">
        <v>39</v>
      </c>
    </row>
    <row r="18" spans="1:9" ht="15" thickBot="1" x14ac:dyDescent="0.4">
      <c r="A18" s="5"/>
      <c r="E18" t="s">
        <v>42</v>
      </c>
    </row>
    <row r="19" spans="1:9" ht="15" thickBot="1" x14ac:dyDescent="0.4">
      <c r="A19" s="7" t="s">
        <v>4</v>
      </c>
      <c r="B19" s="8">
        <f>(C9+D9+E9)+ (C11+D11+E11)+(C12+D12+E12)</f>
        <v>832260</v>
      </c>
      <c r="D19" s="6"/>
    </row>
    <row r="20" spans="1:9" ht="15" thickBot="1" x14ac:dyDescent="0.4"/>
    <row r="21" spans="1:9" ht="21.5" thickBot="1" x14ac:dyDescent="0.5">
      <c r="A21" s="5" t="s">
        <v>5</v>
      </c>
      <c r="B21">
        <f>B16/POWER(1.15,0)</f>
        <v>-1657500</v>
      </c>
      <c r="C21">
        <f>C14/POWER(1.15,1)</f>
        <v>302104.34782608697</v>
      </c>
      <c r="D21">
        <f>D14/POWER(1.15,2)</f>
        <v>631319.470699433</v>
      </c>
      <c r="E21">
        <f>E14/POWER(1.15,3)</f>
        <v>859649.8726062302</v>
      </c>
      <c r="G21" s="9" t="s">
        <v>6</v>
      </c>
      <c r="H21" s="10" t="s">
        <v>7</v>
      </c>
      <c r="I21" s="11"/>
    </row>
    <row r="22" spans="1:9" ht="15" thickBot="1" x14ac:dyDescent="0.4">
      <c r="A22" s="7" t="s">
        <v>5</v>
      </c>
      <c r="B22" s="12">
        <f>NPV(0.15,C14:E14)+B14</f>
        <v>135573.69113175012</v>
      </c>
      <c r="D22" s="16"/>
      <c r="E22" s="16">
        <f>NPV(0.15,C14:E14)+B14</f>
        <v>135573.69113175012</v>
      </c>
    </row>
    <row r="23" spans="1:9" ht="15" thickBot="1" x14ac:dyDescent="0.4"/>
    <row r="24" spans="1:9" ht="15" thickBot="1" x14ac:dyDescent="0.4">
      <c r="A24" s="32" t="s">
        <v>43</v>
      </c>
      <c r="B24" s="14" t="s">
        <v>41</v>
      </c>
      <c r="C24" s="15">
        <f>-(D16/E14)*365</f>
        <v>132.65316424714322</v>
      </c>
      <c r="E24" s="16"/>
    </row>
    <row r="25" spans="1:9" ht="15" thickBot="1" x14ac:dyDescent="0.4"/>
    <row r="26" spans="1:9" ht="15" thickBot="1" x14ac:dyDescent="0.4">
      <c r="A26" s="13" t="s">
        <v>8</v>
      </c>
      <c r="B26" s="17">
        <f>IRR(B14:E14)</f>
        <v>0.18996379259245577</v>
      </c>
      <c r="D26" s="27"/>
      <c r="E26" s="28"/>
    </row>
    <row r="28" spans="1:9" x14ac:dyDescent="0.35">
      <c r="A28" s="5"/>
      <c r="B28" s="18"/>
    </row>
    <row r="29" spans="1:9" x14ac:dyDescent="0.35">
      <c r="B29" s="5"/>
    </row>
    <row r="32" spans="1:9" x14ac:dyDescent="0.35">
      <c r="B32" t="s">
        <v>21</v>
      </c>
      <c r="C32" t="s">
        <v>22</v>
      </c>
      <c r="D32" t="s">
        <v>23</v>
      </c>
      <c r="E32" s="20" t="s">
        <v>24</v>
      </c>
    </row>
    <row r="33" spans="1:6" x14ac:dyDescent="0.3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34</v>
      </c>
    </row>
    <row r="34" spans="1:6" x14ac:dyDescent="0.35">
      <c r="A34" t="s">
        <v>30</v>
      </c>
      <c r="B34" s="19">
        <v>0.2</v>
      </c>
      <c r="C34" s="19">
        <v>0.22</v>
      </c>
      <c r="D34" s="22">
        <v>0.18</v>
      </c>
      <c r="E34" s="19">
        <v>0.19</v>
      </c>
    </row>
    <row r="35" spans="1:6" x14ac:dyDescent="0.35">
      <c r="A35" t="s">
        <v>31</v>
      </c>
      <c r="B35" s="6">
        <v>5000000</v>
      </c>
      <c r="C35" s="6">
        <v>3000000</v>
      </c>
      <c r="D35" s="23">
        <v>2000000</v>
      </c>
      <c r="E35" s="6">
        <v>1657500</v>
      </c>
      <c r="F35" s="23">
        <f>B35+C35+E35</f>
        <v>9657500</v>
      </c>
    </row>
    <row r="36" spans="1:6" x14ac:dyDescent="0.35">
      <c r="A36" t="s">
        <v>32</v>
      </c>
      <c r="B36" s="19"/>
      <c r="C36" s="19"/>
      <c r="D36" s="19" t="s">
        <v>35</v>
      </c>
      <c r="E36" s="19"/>
    </row>
    <row r="37" spans="1:6" x14ac:dyDescent="0.35">
      <c r="A37" t="s">
        <v>33</v>
      </c>
    </row>
    <row r="39" spans="1:6" x14ac:dyDescent="0.35">
      <c r="A39" t="s">
        <v>36</v>
      </c>
      <c r="B39">
        <v>1</v>
      </c>
      <c r="C39" t="s">
        <v>37</v>
      </c>
    </row>
    <row r="40" spans="1:6" x14ac:dyDescent="0.35">
      <c r="B40">
        <v>2</v>
      </c>
      <c r="C40" t="s">
        <v>40</v>
      </c>
    </row>
    <row r="41" spans="1:6" x14ac:dyDescent="0.35">
      <c r="B41">
        <v>3</v>
      </c>
      <c r="C41" t="s">
        <v>38</v>
      </c>
    </row>
    <row r="43" spans="1:6" x14ac:dyDescent="0.35">
      <c r="B43" s="6"/>
    </row>
  </sheetData>
  <sheetProtection algorithmName="SHA-512" hashValue="lfznZnNoF2SKcInsjMdi56yHrxqG5sJkdSs0mKvU01csdkJk1oEZtnHm26IHED+FZrnmJpjfq3inJLrF96bfMA==" saltValue="SGc9+vg3dh7vOto7RIWiLw==" spinCount="100000" sheet="1" objects="1" scenarios="1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Silvana García</cp:lastModifiedBy>
  <dcterms:created xsi:type="dcterms:W3CDTF">2021-07-06T18:43:55Z</dcterms:created>
  <dcterms:modified xsi:type="dcterms:W3CDTF">2026-06-02T15:31:01Z</dcterms:modified>
</cp:coreProperties>
</file>